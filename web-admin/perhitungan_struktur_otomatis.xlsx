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01_Input" sheetId="1" state="visible" r:id="rId1"/>
    <sheet xmlns:r="http://schemas.openxmlformats.org/officeDocument/2006/relationships" name="02_Sloof" sheetId="2" state="visible" r:id="rId2"/>
    <sheet xmlns:r="http://schemas.openxmlformats.org/officeDocument/2006/relationships" name="03_Kolom" sheetId="3" state="visible" r:id="rId3"/>
    <sheet xmlns:r="http://schemas.openxmlformats.org/officeDocument/2006/relationships" name="04_Balok" sheetId="4" state="visible" r:id="rId4"/>
    <sheet xmlns:r="http://schemas.openxmlformats.org/officeDocument/2006/relationships" name="05_Plat_Lantai" sheetId="5" state="visible" r:id="rId5"/>
    <sheet xmlns:r="http://schemas.openxmlformats.org/officeDocument/2006/relationships" name="06_Fondasi" sheetId="6" state="visible" r:id="rId6"/>
    <sheet xmlns:r="http://schemas.openxmlformats.org/officeDocument/2006/relationships" name="07_Ring_Balk" sheetId="7" state="visible" r:id="rId7"/>
    <sheet xmlns:r="http://schemas.openxmlformats.org/officeDocument/2006/relationships" name="08_Rekapitulasi" sheetId="8" state="visible" r:id="rId8"/>
    <sheet xmlns:r="http://schemas.openxmlformats.org/officeDocument/2006/relationships" name="09_Petunju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9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color rgb="00666666"/>
    </font>
    <font>
      <b val="1"/>
      <sz val="14"/>
    </font>
    <font>
      <b val="1"/>
      <color rgb="00FFFFFF"/>
      <sz val="11"/>
    </font>
    <font>
      <b val="1"/>
      <sz val="10"/>
    </font>
    <font>
      <b val="1"/>
      <color rgb="000000FF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borderId="0" fillId="0" fontId="0" numFmtId="0"/>
  </cellStyleXfs>
  <cellXfs count="19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 wrapText="1"/>
    </xf>
    <xf applyAlignment="1" borderId="0" fillId="0" fontId="3" numFmtId="0" pivotButton="0" quotePrefix="0" xfId="0">
      <alignment horizontal="center" vertical="center" wrapText="1"/>
    </xf>
    <xf applyAlignment="1" borderId="1" fillId="2" fontId="4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left" vertical="center" wrapText="1"/>
    </xf>
    <xf applyAlignment="1" borderId="2" fillId="3" fontId="6" numFmtId="2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applyAlignment="1" borderId="1" fillId="4" fontId="0" numFmtId="2" pivotButton="0" quotePrefix="0" xfId="0">
      <alignment horizontal="center" vertical="center" wrapText="1"/>
    </xf>
    <xf applyAlignment="1" borderId="1" fillId="5" fontId="0" numFmtId="2" pivotButton="0" quotePrefix="0" xfId="0">
      <alignment horizontal="center" vertical="center" wrapText="1"/>
    </xf>
    <xf applyAlignment="1" borderId="1" fillId="6" fontId="0" numFmtId="0" pivotButton="0" quotePrefix="0" xfId="0">
      <alignment horizontal="center" vertical="center" wrapText="1"/>
    </xf>
    <xf applyAlignment="1" borderId="2" fillId="3" fontId="6" numFmtId="0" pivotButton="0" quotePrefix="0" xfId="0">
      <alignment horizontal="center" vertical="center" wrapText="1"/>
    </xf>
    <xf applyAlignment="1" borderId="1" fillId="5" fontId="0" numFmtId="164" pivotButton="0" quotePrefix="0" xfId="0">
      <alignment horizontal="center" vertical="center" wrapText="1"/>
    </xf>
    <xf applyAlignment="1" borderId="1" fillId="2" fontId="4" numFmtId="2" pivotButton="0" quotePrefix="0" xfId="0">
      <alignment horizontal="center" vertical="center" wrapText="1"/>
    </xf>
    <xf applyAlignment="1" borderId="1" fillId="2" fontId="4" numFmtId="164" pivotButton="0" quotePrefix="0" xfId="0">
      <alignment horizontal="center" vertical="center" wrapText="1"/>
    </xf>
    <xf borderId="0" fillId="0" fontId="7" numFmtId="0" pivotButton="0" quotePrefix="0" xfId="0"/>
    <xf borderId="0" fillId="0" fontId="8" numFmtId="0" pivotButton="0" quotePrefix="0" xfId="0"/>
    <xf borderId="1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customWidth="1" max="1" min="1" width="26"/>
    <col customWidth="1" max="2" min="2" width="14"/>
    <col customWidth="1" max="3" min="3" width="12"/>
    <col customWidth="1" max="4" min="4" width="20"/>
  </cols>
  <sheetData>
    <row r="1">
      <c r="A1" s="1" t="inlineStr">
        <is>
          <t>INPUT DATA BANGUNAN &amp; MATERIAL</t>
        </is>
      </c>
    </row>
    <row r="2">
      <c r="A2" s="2" t="inlineStr">
        <is>
          <t>Ubah nilai di sel kuning untuk menghitung otomatis</t>
        </is>
      </c>
    </row>
    <row r="4">
      <c r="A4" s="3" t="inlineStr">
        <is>
          <t>DATA BANGUNAN</t>
        </is>
      </c>
    </row>
    <row r="5">
      <c r="A5" s="4" t="inlineStr">
        <is>
          <t>Parameter</t>
        </is>
      </c>
      <c r="B5" s="4" t="inlineStr">
        <is>
          <t>Nilai</t>
        </is>
      </c>
      <c r="C5" s="4" t="inlineStr">
        <is>
          <t>Satuan</t>
        </is>
      </c>
      <c r="D5" s="4" t="inlineStr">
        <is>
          <t>Keterangan</t>
        </is>
      </c>
    </row>
    <row r="6">
      <c r="A6" s="5" t="inlineStr">
        <is>
          <t>Panjang (Px)</t>
        </is>
      </c>
      <c r="B6" s="6" t="n">
        <v>8</v>
      </c>
      <c r="C6" s="7" t="inlineStr">
        <is>
          <t>m</t>
        </is>
      </c>
      <c r="D6" s="7" t="inlineStr">
        <is>
          <t>Arah X</t>
        </is>
      </c>
    </row>
    <row r="7">
      <c r="A7" s="5" t="inlineStr">
        <is>
          <t>Lebar (Py)</t>
        </is>
      </c>
      <c r="B7" s="6" t="n">
        <v>6</v>
      </c>
      <c r="C7" s="7" t="inlineStr">
        <is>
          <t>m</t>
        </is>
      </c>
      <c r="D7" s="7" t="inlineStr">
        <is>
          <t>Arah Y</t>
        </is>
      </c>
    </row>
    <row r="8">
      <c r="A8" s="5" t="inlineStr">
        <is>
          <t>Tinggi Lantai 1</t>
        </is>
      </c>
      <c r="B8" s="6" t="n">
        <v>3.5</v>
      </c>
      <c r="C8" s="7" t="inlineStr">
        <is>
          <t>m</t>
        </is>
      </c>
      <c r="D8" s="7" t="inlineStr">
        <is>
          <t>Tinggi bersih</t>
        </is>
      </c>
    </row>
    <row r="9">
      <c r="A9" s="5" t="inlineStr">
        <is>
          <t>Tinggi Lantai 2</t>
        </is>
      </c>
      <c r="B9" s="6" t="n">
        <v>3</v>
      </c>
      <c r="C9" s="7" t="inlineStr">
        <is>
          <t>m</t>
        </is>
      </c>
      <c r="D9" s="7" t="inlineStr">
        <is>
          <t>Tinggi bersih</t>
        </is>
      </c>
    </row>
    <row r="10">
      <c r="A10" s="5" t="inlineStr">
        <is>
          <t>Jumlah Lantai</t>
        </is>
      </c>
      <c r="B10" s="6" t="n">
        <v>2</v>
      </c>
      <c r="C10" s="7" t="inlineStr"/>
      <c r="D10" s="7" t="inlineStr">
        <is>
          <t>Bangunan bertingkat</t>
        </is>
      </c>
    </row>
    <row r="11">
      <c r="A11" s="5" t="inlineStr">
        <is>
          <t>Tebal Plat Lantai</t>
        </is>
      </c>
      <c r="B11" s="6" t="n">
        <v>12</v>
      </c>
      <c r="C11" s="7" t="inlineStr">
        <is>
          <t>cm</t>
        </is>
      </c>
      <c r="D11" s="7" t="inlineStr">
        <is>
          <t>Sesuai SNI 2847</t>
        </is>
      </c>
    </row>
    <row r="12">
      <c r="A12" s="5" t="inlineStr">
        <is>
          <t>Tebal Plat Atap</t>
        </is>
      </c>
      <c r="B12" s="6" t="n">
        <v>10</v>
      </c>
      <c r="C12" s="7" t="inlineStr">
        <is>
          <t>cm</t>
        </is>
      </c>
      <c r="D12" s="7" t="inlineStr">
        <is>
          <t>Beton ringan</t>
        </is>
      </c>
    </row>
    <row r="13">
      <c r="A13" s="5" t="inlineStr">
        <is>
          <t>Tebal Dinding</t>
        </is>
      </c>
      <c r="B13" s="6" t="n">
        <v>10</v>
      </c>
      <c r="C13" s="7" t="inlineStr">
        <is>
          <t>cm</t>
        </is>
      </c>
      <c r="D13" s="7" t="inlineStr">
        <is>
          <t>Batako</t>
        </is>
      </c>
    </row>
    <row r="15">
      <c r="A15" s="3" t="inlineStr">
        <is>
          <t>BEBAN DESAIN (SNI 1727:2020)</t>
        </is>
      </c>
    </row>
    <row r="16">
      <c r="A16" s="4" t="inlineStr">
        <is>
          <t>Jenis Beban</t>
        </is>
      </c>
      <c r="B16" s="4" t="inlineStr">
        <is>
          <t>Nilai</t>
        </is>
      </c>
      <c r="C16" s="4" t="inlineStr">
        <is>
          <t>Satuan</t>
        </is>
      </c>
      <c r="D16" s="4" t="inlineStr">
        <is>
          <t>Referensi</t>
        </is>
      </c>
    </row>
    <row r="17">
      <c r="A17" s="5" t="inlineStr">
        <is>
          <t>Beban Hidup Lantai</t>
        </is>
      </c>
      <c r="B17" s="6" t="n">
        <v>1.92</v>
      </c>
      <c r="C17" s="7" t="inlineStr">
        <is>
          <t>kN/m2</t>
        </is>
      </c>
      <c r="D17" s="7" t="inlineStr">
        <is>
          <t>SNI 1727:2020</t>
        </is>
      </c>
    </row>
    <row r="18">
      <c r="A18" s="5" t="inlineStr">
        <is>
          <t>Beban Hidup Atap</t>
        </is>
      </c>
      <c r="B18" s="6" t="n">
        <v>0.96</v>
      </c>
      <c r="C18" s="7" t="inlineStr">
        <is>
          <t>kN/m2</t>
        </is>
      </c>
      <c r="D18" s="7" t="inlineStr">
        <is>
          <t>SNI 1727:2020</t>
        </is>
      </c>
    </row>
    <row r="19">
      <c r="A19" s="5" t="inlineStr">
        <is>
          <t>Beban Mati Plat Lantai</t>
        </is>
      </c>
      <c r="B19" s="6" t="n">
        <v>3</v>
      </c>
      <c r="C19" s="7" t="inlineStr">
        <is>
          <t>kN/m2</t>
        </is>
      </c>
      <c r="D19" s="7" t="inlineStr">
        <is>
          <t>Berat sendiri</t>
        </is>
      </c>
    </row>
    <row r="20">
      <c r="A20" s="5" t="inlineStr">
        <is>
          <t>Beban Mati Plat Atap</t>
        </is>
      </c>
      <c r="B20" s="6" t="n">
        <v>2.5</v>
      </c>
      <c r="C20" s="7" t="inlineStr">
        <is>
          <t>kN/m2</t>
        </is>
      </c>
      <c r="D20" s="7" t="inlineStr">
        <is>
          <t>Berat sendiri</t>
        </is>
      </c>
    </row>
    <row r="21">
      <c r="A21" s="5" t="inlineStr">
        <is>
          <t>Berat Dinding Batako</t>
        </is>
      </c>
      <c r="B21" s="6" t="n">
        <v>1.8</v>
      </c>
      <c r="C21" s="7" t="inlineStr">
        <is>
          <t>kN/m2</t>
        </is>
      </c>
      <c r="D21" s="7" t="inlineStr">
        <is>
          <t>γ=18 kN/m3</t>
        </is>
      </c>
    </row>
    <row r="23">
      <c r="A23" s="3" t="inlineStr">
        <is>
          <t>PROPERTI MATERIAL (SNI 2847:2019)</t>
        </is>
      </c>
    </row>
    <row r="24">
      <c r="A24" s="4" t="inlineStr">
        <is>
          <t>Material</t>
        </is>
      </c>
      <c r="B24" s="4" t="inlineStr">
        <is>
          <t>Nilai</t>
        </is>
      </c>
      <c r="C24" s="4" t="inlineStr">
        <is>
          <t>Satuan</t>
        </is>
      </c>
      <c r="D24" s="4" t="inlineStr">
        <is>
          <t>Pasal</t>
        </is>
      </c>
    </row>
    <row r="25">
      <c r="A25" s="5" t="inlineStr">
        <is>
          <t>Kuat Tekan Beton (fc)</t>
        </is>
      </c>
      <c r="B25" s="6" t="n">
        <v>19.3</v>
      </c>
      <c r="C25" s="7" t="inlineStr">
        <is>
          <t>MPa</t>
        </is>
      </c>
      <c r="D25" s="7" t="inlineStr">
        <is>
          <t>Pasal 6.1</t>
        </is>
      </c>
    </row>
    <row r="26">
      <c r="A26" s="5" t="inlineStr">
        <is>
          <t>Mutu Baja Tulangan (fy)</t>
        </is>
      </c>
      <c r="B26" s="6" t="n">
        <v>420</v>
      </c>
      <c r="C26" s="7" t="inlineStr">
        <is>
          <t>MPa</t>
        </is>
      </c>
      <c r="D26" s="7" t="inlineStr">
        <is>
          <t>Pasal 6.5</t>
        </is>
      </c>
    </row>
    <row r="27">
      <c r="A27" s="5" t="inlineStr">
        <is>
          <t>Berat Beton (γc)</t>
        </is>
      </c>
      <c r="B27" s="6" t="n">
        <v>24</v>
      </c>
      <c r="C27" s="7" t="inlineStr">
        <is>
          <t>kN/m3</t>
        </is>
      </c>
      <c r="D27" s="7" t="inlineStr">
        <is>
          <t>Pasal 6.10</t>
        </is>
      </c>
    </row>
    <row r="28">
      <c r="A28" s="5" t="inlineStr">
        <is>
          <t>Faktor Reduksi Lentur (φ)</t>
        </is>
      </c>
      <c r="B28" s="6" t="n">
        <v>0.65</v>
      </c>
      <c r="C28" s="7" t="inlineStr">
        <is>
          <t>-</t>
        </is>
      </c>
      <c r="D28" s="7" t="inlineStr">
        <is>
          <t>Pasal 21.2.1</t>
        </is>
      </c>
    </row>
    <row r="29">
      <c r="A29" s="5" t="inlineStr">
        <is>
          <t>Faktor Reduksi Geser (φV)</t>
        </is>
      </c>
      <c r="B29" s="6" t="n">
        <v>0.75</v>
      </c>
      <c r="C29" s="7" t="inlineStr">
        <is>
          <t>-</t>
        </is>
      </c>
      <c r="D29" s="7" t="inlineStr">
        <is>
          <t>Pasal 21.2.1</t>
        </is>
      </c>
    </row>
    <row r="30">
      <c r="A30" s="5" t="inlineStr">
        <is>
          <t>Selimut Beton (cc)</t>
        </is>
      </c>
      <c r="B30" s="6" t="n">
        <v>25</v>
      </c>
      <c r="C30" s="7" t="inlineStr">
        <is>
          <t>mm</t>
        </is>
      </c>
      <c r="D30" s="7" t="inlineStr">
        <is>
          <t>Tabel 20.6.1.3.1</t>
        </is>
      </c>
    </row>
  </sheetData>
  <mergeCells count="5">
    <mergeCell ref="A1:F1"/>
    <mergeCell ref="A2:F2"/>
    <mergeCell ref="A4:D4"/>
    <mergeCell ref="A15:D15"/>
    <mergeCell ref="A23:D23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8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0"/>
  </cols>
  <sheetData>
    <row r="1">
      <c r="A1" s="3" t="inlineStr">
        <is>
          <t>PERHITUNGAN SLOOF - OTOMATIS</t>
        </is>
      </c>
    </row>
    <row r="2">
      <c r="A2" s="8" t="inlineStr">
        <is>
          <t>Sesuai SNI 2847:2019 Pasal 9</t>
        </is>
      </c>
    </row>
    <row customHeight="1" ht="30" r="4">
      <c r="A4" s="4" t="inlineStr">
        <is>
          <t>No</t>
        </is>
      </c>
      <c r="B4" s="4" t="inlineStr">
        <is>
          <t>Lokasi</t>
        </is>
      </c>
      <c r="C4" s="4" t="inlineStr">
        <is>
          <t>Bentang (m)</t>
        </is>
      </c>
      <c r="D4" s="4" t="inlineStr">
        <is>
          <t>q Dinding
(kN/m)</t>
        </is>
      </c>
      <c r="E4" s="4" t="inlineStr">
        <is>
          <t>q Total
(kN/m)</t>
        </is>
      </c>
      <c r="F4" s="4" t="inlineStr">
        <is>
          <t>Mu
(kNm)</t>
        </is>
      </c>
      <c r="G4" s="4" t="inlineStr">
        <is>
          <t>Vu
(kN)</t>
        </is>
      </c>
      <c r="H4" s="4" t="inlineStr">
        <is>
          <t>As Perlu
(mm2)</t>
        </is>
      </c>
      <c r="I4" s="4" t="inlineStr">
        <is>
          <t>Status</t>
        </is>
      </c>
    </row>
    <row r="5">
      <c r="A5" s="7" t="n">
        <v>1</v>
      </c>
      <c r="B5" s="7" t="inlineStr">
        <is>
          <t>Sloof Melintang</t>
        </is>
      </c>
      <c r="C5" s="9">
        <f>01_Input!B6</f>
        <v/>
      </c>
      <c r="D5" s="9">
        <f>(15/100)*01_Input!B8*18</f>
        <v/>
      </c>
      <c r="E5" s="9">
        <f>D5+0.5</f>
        <v/>
      </c>
      <c r="F5" s="10">
        <f>1/8*E5*C5^2</f>
        <v/>
      </c>
      <c r="G5" s="10">
        <f>0.5*E5*C5</f>
        <v/>
      </c>
      <c r="H5" s="10">
        <f>F5*1000000/(01_Input!B28*01_Input!B29*(30-2.5-0.4)*10)</f>
        <v/>
      </c>
      <c r="I5" s="11">
        <f>IF(H5&lt;398,"OK","NOK")</f>
        <v/>
      </c>
    </row>
    <row r="6">
      <c r="A6" s="7" t="n">
        <v>2</v>
      </c>
      <c r="B6" s="7" t="inlineStr">
        <is>
          <t>Sloof Memanjang</t>
        </is>
      </c>
      <c r="C6" s="9">
        <f>01_Input!B7</f>
        <v/>
      </c>
      <c r="D6" s="9">
        <f>(15/100)*01_Input!B8*18</f>
        <v/>
      </c>
      <c r="E6" s="9">
        <f>D6+0.5</f>
        <v/>
      </c>
      <c r="F6" s="10">
        <f>1/8*E6*C6^2</f>
        <v/>
      </c>
      <c r="G6" s="10">
        <f>0.5*E6*C6</f>
        <v/>
      </c>
      <c r="H6" s="10">
        <f>F6*1000000/(01_Input!B28*01_Input!B29*(30-2.5-0.4)*10)</f>
        <v/>
      </c>
      <c r="I6" s="11">
        <f>IF(H6&lt;398,"OK","NOK")</f>
        <v/>
      </c>
    </row>
  </sheetData>
  <mergeCells count="2">
    <mergeCell ref="A1:I1"/>
    <mergeCell ref="A2:I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0"/>
    <col customWidth="1" max="8" min="8" width="10"/>
    <col customWidth="1" max="9" min="9" width="10"/>
    <col customWidth="1" max="10" min="10" width="10"/>
  </cols>
  <sheetData>
    <row r="1">
      <c r="A1" s="3" t="inlineStr">
        <is>
          <t>PERHITUNGAN KOLOM - OTOMATIS</t>
        </is>
      </c>
    </row>
    <row r="2">
      <c r="A2" s="8" t="inlineStr">
        <is>
          <t>SNI 2847:2019 Pasal 10 &amp; 21.6 - SRPMM</t>
        </is>
      </c>
    </row>
    <row customHeight="1" ht="30" r="4">
      <c r="A4" s="4" t="inlineStr">
        <is>
          <t>No</t>
        </is>
      </c>
      <c r="B4" s="4" t="inlineStr">
        <is>
          <t>Tipe</t>
        </is>
      </c>
      <c r="C4" s="4" t="inlineStr">
        <is>
          <t>Atribut
(m2)</t>
        </is>
      </c>
      <c r="D4" s="4" t="inlineStr">
        <is>
          <t>Pu (kN)</t>
        </is>
      </c>
      <c r="E4" s="4" t="inlineStr">
        <is>
          <t>Ag perlu
(mm2)</t>
        </is>
      </c>
      <c r="F4" s="4" t="inlineStr">
        <is>
          <t>Ag ada
(mm2)</t>
        </is>
      </c>
      <c r="G4" s="4" t="inlineStr">
        <is>
          <t>ρ (%)</t>
        </is>
      </c>
      <c r="H4" s="4" t="inlineStr">
        <is>
          <t>Tul. Utama</t>
        </is>
      </c>
      <c r="I4" s="4" t="inlineStr">
        <is>
          <t>Sengkang</t>
        </is>
      </c>
      <c r="J4" s="4" t="inlineStr">
        <is>
          <t>Status</t>
        </is>
      </c>
    </row>
    <row r="5">
      <c r="A5" s="7" t="n">
        <v>1</v>
      </c>
      <c r="B5" s="7" t="inlineStr">
        <is>
          <t>K1 (Pojok)</t>
        </is>
      </c>
      <c r="C5" s="9">
        <f>01_Input!B6*01_Input!B7/4</f>
        <v/>
      </c>
      <c r="D5" s="10">
        <f>C5*((01_Input!B11/100)*24 + (01_Input!B13/100)*01_Input!B8*18)/1000 + 0.3*0.3*01_Input!B8*24/1000</f>
        <v/>
      </c>
      <c r="E5" s="10">
        <f>D5*1000/(01_Input!B28*0.8*01_Input!B25*1000)</f>
        <v/>
      </c>
      <c r="F5" s="7" t="n">
        <v>90000</v>
      </c>
      <c r="G5" s="10">
        <f>(4*132.7)/(30*30)*100</f>
        <v/>
      </c>
      <c r="H5" s="7" t="inlineStr">
        <is>
          <t>4D13</t>
        </is>
      </c>
      <c r="I5" s="7" t="inlineStr">
        <is>
          <t>D10-100</t>
        </is>
      </c>
      <c r="J5" s="11">
        <f>IF(F5&gt;E5,"OK","NOK")</f>
        <v/>
      </c>
    </row>
    <row r="6">
      <c r="A6" s="7" t="n">
        <v>2</v>
      </c>
      <c r="B6" s="7" t="inlineStr">
        <is>
          <t>K2 (Tepi)</t>
        </is>
      </c>
      <c r="C6" s="9">
        <f>01_Input!B6*01_Input!B7/2</f>
        <v/>
      </c>
      <c r="D6" s="10">
        <f>C6*((01_Input!B11/100)*24 + (01_Input!B13/100)*01_Input!B8*18)/1000 + 0.3*0.3*01_Input!B8*24/1000</f>
        <v/>
      </c>
      <c r="E6" s="10">
        <f>D6*1000/(01_Input!B28*0.8*01_Input!B25*1000)</f>
        <v/>
      </c>
      <c r="F6" s="7" t="n">
        <v>90000</v>
      </c>
      <c r="G6" s="10">
        <f>(4*132.7)/(30*30)*100</f>
        <v/>
      </c>
      <c r="H6" s="7" t="inlineStr">
        <is>
          <t>4D13</t>
        </is>
      </c>
      <c r="I6" s="7" t="inlineStr">
        <is>
          <t>D10-100</t>
        </is>
      </c>
      <c r="J6" s="11">
        <f>IF(F6&gt;E6,"OK","NOK")</f>
        <v/>
      </c>
    </row>
    <row r="7">
      <c r="A7" s="7" t="n">
        <v>3</v>
      </c>
      <c r="B7" s="7" t="inlineStr">
        <is>
          <t>K3 (Tengah)</t>
        </is>
      </c>
      <c r="C7" s="9">
        <f>01_Input!B6*01_Input!B7</f>
        <v/>
      </c>
      <c r="D7" s="10">
        <f>C7*((01_Input!B11/100)*24 + (01_Input!B13/100)*01_Input!B8*18)/1000 + 0.3*0.3*01_Input!B8*24/1000</f>
        <v/>
      </c>
      <c r="E7" s="10">
        <f>D7*1000/(01_Input!B28*0.8*01_Input!B25*1000)</f>
        <v/>
      </c>
      <c r="F7" s="7" t="n">
        <v>90000</v>
      </c>
      <c r="G7" s="10">
        <f>(4*132.7)/(30*30)*100</f>
        <v/>
      </c>
      <c r="H7" s="7" t="inlineStr">
        <is>
          <t>4D16</t>
        </is>
      </c>
      <c r="I7" s="7" t="inlineStr">
        <is>
          <t>D10-100</t>
        </is>
      </c>
      <c r="J7" s="11">
        <f>IF(F7&gt;E7,"OK","NOK")</f>
        <v/>
      </c>
    </row>
  </sheetData>
  <mergeCells count="2">
    <mergeCell ref="A1:J1"/>
    <mergeCell ref="A2:J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2"/>
    <col customWidth="1" max="3" min="3" width="10"/>
    <col customWidth="1" max="4" min="4" width="12"/>
    <col customWidth="1" max="5" min="5" width="10"/>
    <col customWidth="1" max="6" min="6" width="12"/>
    <col customWidth="1" max="7" min="7" width="10"/>
    <col customWidth="1" max="8" min="8" width="10"/>
    <col customWidth="1" max="9" min="9" width="12"/>
    <col customWidth="1" max="10" min="10" width="12"/>
    <col customWidth="1" max="11" min="11" width="10"/>
    <col customWidth="1" max="12" min="12" width="10"/>
  </cols>
  <sheetData>
    <row r="1">
      <c r="A1" s="3" t="inlineStr">
        <is>
          <t>PERHITUNGAN BALOK - OTOMATIS</t>
        </is>
      </c>
    </row>
    <row r="2">
      <c r="A2" s="8" t="inlineStr">
        <is>
          <t>SNI 2847:2019 Pasal 8 &amp; 21.5 - SRPMM</t>
        </is>
      </c>
    </row>
    <row customHeight="1" ht="30" r="4">
      <c r="A4" s="4" t="inlineStr">
        <is>
          <t>No</t>
        </is>
      </c>
      <c r="B4" s="4" t="inlineStr">
        <is>
          <t>Tipe</t>
        </is>
      </c>
      <c r="C4" s="4" t="inlineStr">
        <is>
          <t>Bentang
(m)</t>
        </is>
      </c>
      <c r="D4" s="4" t="inlineStr">
        <is>
          <t>qd
(kN/m)</t>
        </is>
      </c>
      <c r="E4" s="4" t="inlineStr">
        <is>
          <t>ql
(kN/m)</t>
        </is>
      </c>
      <c r="F4" s="4" t="inlineStr">
        <is>
          <t>Mu
(kNm)</t>
        </is>
      </c>
      <c r="G4" s="4" t="inlineStr">
        <is>
          <t>Vu
(kN)</t>
        </is>
      </c>
      <c r="H4" s="4" t="inlineStr">
        <is>
          <t>d eff
(mm)</t>
        </is>
      </c>
      <c r="I4" s="4" t="inlineStr">
        <is>
          <t>As perlu
(mm2)</t>
        </is>
      </c>
      <c r="J4" s="4" t="inlineStr">
        <is>
          <t>As ada
(mm2)</t>
        </is>
      </c>
      <c r="K4" s="4" t="inlineStr">
        <is>
          <t>ρ (%)</t>
        </is>
      </c>
      <c r="L4" s="4" t="inlineStr">
        <is>
          <t>Status</t>
        </is>
      </c>
    </row>
    <row r="5">
      <c r="A5" s="7" t="n">
        <v>1</v>
      </c>
      <c r="B5" s="7" t="inlineStr">
        <is>
          <t>B1 (Lantai)</t>
        </is>
      </c>
      <c r="C5" s="9">
        <f>01_Input!B6</f>
        <v/>
      </c>
      <c r="D5" s="9">
        <f>(25*40*24)/1000000+01_Input!B19/1000*C5+01_Input!B21/2*C5</f>
        <v/>
      </c>
      <c r="E5" s="9">
        <f>C5*01_Input!B17/1000</f>
        <v/>
      </c>
      <c r="F5" s="10">
        <f>1/11*(D5+E5)*C5^2</f>
        <v/>
      </c>
      <c r="G5" s="10">
        <f>0.5*(D5+E5)*C5</f>
        <v/>
      </c>
      <c r="H5" s="7" t="n">
        <v>370</v>
      </c>
      <c r="I5" s="10">
        <f>F5*1000000/(01_Input!B28*01_Input!B29*H5)</f>
        <v/>
      </c>
      <c r="J5" s="7" t="n">
        <v>603</v>
      </c>
      <c r="K5" s="10">
        <f>J5/(25*40)*100</f>
        <v/>
      </c>
      <c r="L5" s="11">
        <f>IF(J5&gt;I5,"OK","NOK")</f>
        <v/>
      </c>
    </row>
    <row r="6">
      <c r="A6" s="7" t="n">
        <v>2</v>
      </c>
      <c r="B6" s="7" t="inlineStr">
        <is>
          <t>B2 (Lantai)</t>
        </is>
      </c>
      <c r="C6" s="9">
        <f>01_Input!B7</f>
        <v/>
      </c>
      <c r="D6" s="9">
        <f>(25*40*24)/1000000+01_Input!B19/1000*C6+01_Input!B21/2*C6</f>
        <v/>
      </c>
      <c r="E6" s="9">
        <f>C6*01_Input!B17/1000</f>
        <v/>
      </c>
      <c r="F6" s="10">
        <f>1/11*(D6+E6)*C6^2</f>
        <v/>
      </c>
      <c r="G6" s="10">
        <f>0.5*(D6+E6)*C6</f>
        <v/>
      </c>
      <c r="H6" s="7" t="n">
        <v>370</v>
      </c>
      <c r="I6" s="10">
        <f>F6*1000000/(01_Input!B28*01_Input!B29*H6)</f>
        <v/>
      </c>
      <c r="J6" s="7" t="n">
        <v>402</v>
      </c>
      <c r="K6" s="10">
        <f>J6/(25*40)*100</f>
        <v/>
      </c>
      <c r="L6" s="11">
        <f>IF(J6&gt;I6,"OK","NOK")</f>
        <v/>
      </c>
    </row>
    <row r="7">
      <c r="A7" s="7" t="n">
        <v>3</v>
      </c>
      <c r="B7" s="7" t="inlineStr">
        <is>
          <t>B3 (Atap)</t>
        </is>
      </c>
      <c r="C7" s="9">
        <f>01_Input!B6</f>
        <v/>
      </c>
      <c r="D7" s="9">
        <f>(25*40*24)/1000000+C7*(01_Input!B20+01_Input!B21)/1000</f>
        <v/>
      </c>
      <c r="E7" s="9">
        <f>C7*01_Input!B18/1000</f>
        <v/>
      </c>
      <c r="F7" s="10">
        <f>1/11*(D7+E7)*C7^2</f>
        <v/>
      </c>
      <c r="G7" s="10">
        <f>0.5*(D7+E7)*C7</f>
        <v/>
      </c>
      <c r="H7" s="7" t="n">
        <v>370</v>
      </c>
      <c r="I7" s="10">
        <f>F7*1000000/(01_Input!B28*01_Input!B29*H7)</f>
        <v/>
      </c>
      <c r="J7" s="7" t="n">
        <v>402</v>
      </c>
      <c r="K7" s="10">
        <f>J7/(25*40)*100</f>
        <v/>
      </c>
      <c r="L7" s="11">
        <f>IF(J7&gt;I7,"OK","NOK")</f>
        <v/>
      </c>
    </row>
  </sheetData>
  <mergeCells count="2">
    <mergeCell ref="A1:L1"/>
    <mergeCell ref="A2:L2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10"/>
    <col customWidth="1" max="3" min="3" width="10"/>
    <col customWidth="1" max="4" min="4" width="10"/>
    <col customWidth="1" max="5" min="5" width="12"/>
    <col customWidth="1" max="6" min="6" width="12"/>
    <col customWidth="1" max="7" min="7" width="10"/>
    <col customWidth="1" max="8" min="8" width="12"/>
    <col customWidth="1" max="9" min="9" width="12"/>
    <col customWidth="1" max="10" min="10" width="10"/>
  </cols>
  <sheetData>
    <row r="1">
      <c r="A1" s="3" t="inlineStr">
        <is>
          <t>PERHITUNGAN PLAT LANTAI - OTOMATIS</t>
        </is>
      </c>
    </row>
    <row customHeight="1" ht="30" r="4">
      <c r="A4" s="4" t="inlineStr">
        <is>
          <t>Panel</t>
        </is>
      </c>
      <c r="B4" s="4" t="inlineStr">
        <is>
          <t>Lx (m)</t>
        </is>
      </c>
      <c r="C4" s="4" t="inlineStr">
        <is>
          <t>Ly (m)</t>
        </is>
      </c>
      <c r="D4" s="4" t="inlineStr">
        <is>
          <t>ly/lx</t>
        </is>
      </c>
      <c r="E4" s="4" t="inlineStr">
        <is>
          <t>Tipe</t>
        </is>
      </c>
      <c r="F4" s="4" t="inlineStr">
        <is>
          <t>Mu lap
(kNm)</t>
        </is>
      </c>
      <c r="G4" s="4" t="inlineStr">
        <is>
          <t>d eff
(mm)</t>
        </is>
      </c>
      <c r="H4" s="4" t="inlineStr">
        <is>
          <t>As perlu
(mm2/m)</t>
        </is>
      </c>
      <c r="I4" s="4" t="inlineStr">
        <is>
          <t>As ada
(mm2/m)</t>
        </is>
      </c>
      <c r="J4" s="4" t="inlineStr">
        <is>
          <t>Status</t>
        </is>
      </c>
    </row>
    <row r="5">
      <c r="A5" s="7" t="inlineStr">
        <is>
          <t>A1</t>
        </is>
      </c>
      <c r="B5" s="9">
        <f>01_Input!B7</f>
        <v/>
      </c>
      <c r="C5" s="9">
        <f>01_Input!B6</f>
        <v/>
      </c>
      <c r="D5" s="9">
        <f>C5/B5</f>
        <v/>
      </c>
      <c r="E5" s="7">
        <f>IF(D5&gt;2,"Satu Arah","Dua Arah")</f>
        <v/>
      </c>
      <c r="F5" s="10">
        <f>0.058*(01_Input!B19+01_Input!B17)*B5^2</f>
        <v/>
      </c>
      <c r="G5" s="7" t="n">
        <v>100</v>
      </c>
      <c r="H5" s="10">
        <f>F5*1000000/(01_Input!B28*01_Input!B29*G5)</f>
        <v/>
      </c>
      <c r="I5" s="7" t="n">
        <v>523</v>
      </c>
      <c r="J5" s="11">
        <f>IF(I5&gt;H5,"OK","NOK")</f>
        <v/>
      </c>
    </row>
  </sheetData>
  <mergeCells count="1">
    <mergeCell ref="A1:J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0"/>
    <col customWidth="1" max="3" min="3" width="10"/>
    <col customWidth="1" max="4" min="4" width="8"/>
    <col customWidth="1" max="5" min="5" width="12"/>
    <col customWidth="1" max="6" min="6" width="10"/>
    <col customWidth="1" max="7" min="7" width="12"/>
    <col customWidth="1" max="8" min="8" width="10"/>
    <col customWidth="1" max="9" min="9" width="10"/>
    <col customWidth="1" max="10" min="10" width="12"/>
    <col customWidth="1" max="11" min="11" width="12"/>
  </cols>
  <sheetData>
    <row r="1">
      <c r="A1" s="3" t="inlineStr">
        <is>
          <t>PERHITUNGAN FONDASI FOOTPLATE - OTOMATIS</t>
        </is>
      </c>
    </row>
    <row r="2">
      <c r="A2" s="8" t="inlineStr">
        <is>
          <t>SNI 8460:2017 &amp; SNI 2847:2019 Pasal 8.4</t>
        </is>
      </c>
    </row>
    <row r="4">
      <c r="A4" s="4" t="inlineStr">
        <is>
          <t>KAPASITAS TANAH (σ)</t>
        </is>
      </c>
      <c r="B4" s="12" t="n">
        <v>150</v>
      </c>
      <c r="C4" s="7" t="inlineStr">
        <is>
          <t>kN/m2</t>
        </is>
      </c>
    </row>
    <row customHeight="1" ht="30" r="6">
      <c r="A6" s="4" t="inlineStr">
        <is>
          <t>Kolom</t>
        </is>
      </c>
      <c r="B6" s="4" t="inlineStr">
        <is>
          <t>Pu (kN)</t>
        </is>
      </c>
      <c r="C6" s="4" t="inlineStr">
        <is>
          <t>σ tanah
(kN/m2)</t>
        </is>
      </c>
      <c r="D6" s="4" t="inlineStr">
        <is>
          <t>B (m)</t>
        </is>
      </c>
      <c r="E6" s="4" t="inlineStr">
        <is>
          <t>Luas perlu
(m2)</t>
        </is>
      </c>
      <c r="F6" s="4" t="inlineStr">
        <is>
          <t>Luas ada
(m2)</t>
        </is>
      </c>
      <c r="G6" s="4" t="inlineStr">
        <is>
          <t>Tekanan
(kN/m2)</t>
        </is>
      </c>
      <c r="H6" s="4" t="inlineStr">
        <is>
          <t>Status</t>
        </is>
      </c>
      <c r="I6" s="4" t="inlineStr">
        <is>
          <t>b0 (mm)</t>
        </is>
      </c>
      <c r="J6" s="4" t="inlineStr">
        <is>
          <t>φVn (N)</t>
        </is>
      </c>
      <c r="K6" s="4" t="inlineStr">
        <is>
          <t>Status Pons</t>
        </is>
      </c>
    </row>
    <row r="7">
      <c r="A7" s="7" t="inlineStr">
        <is>
          <t>K1</t>
        </is>
      </c>
      <c r="B7" s="10">
        <f>03_Kolom!D5</f>
        <v/>
      </c>
      <c r="C7" s="7">
        <f>$B$4</f>
        <v/>
      </c>
      <c r="D7" s="6" t="n">
        <v>1</v>
      </c>
      <c r="E7" s="10">
        <f>(B7+D7^2*0.4*24+D7^2*0.6*18)/C7</f>
        <v/>
      </c>
      <c r="F7" s="9">
        <f>D7^2</f>
        <v/>
      </c>
      <c r="G7" s="10">
        <f>B7/F7</f>
        <v/>
      </c>
      <c r="H7" s="11">
        <f>IF(G7&lt;=C7,"OK","NOK")</f>
        <v/>
      </c>
      <c r="I7" s="7">
        <f>4*D7*1000</f>
        <v/>
      </c>
      <c r="J7" s="10">
        <f>01_Input!B28*1/3*SQRT(01_Input!B25*1000000)*I7*350/1000</f>
        <v/>
      </c>
      <c r="K7" s="11">
        <f>IF(B7*1000&lt;J7,"OK","NOK")</f>
        <v/>
      </c>
    </row>
    <row r="8">
      <c r="A8" s="7" t="inlineStr">
        <is>
          <t>K2</t>
        </is>
      </c>
      <c r="B8" s="10">
        <f>03_Kolom!D6</f>
        <v/>
      </c>
      <c r="C8" s="7">
        <f>$B$4</f>
        <v/>
      </c>
      <c r="D8" s="6" t="n">
        <v>1</v>
      </c>
      <c r="E8" s="10">
        <f>(B8+D8^2*0.4*24+D8^2*0.6*18)/C8</f>
        <v/>
      </c>
      <c r="F8" s="9">
        <f>D8^2</f>
        <v/>
      </c>
      <c r="G8" s="10">
        <f>B8/F8</f>
        <v/>
      </c>
      <c r="H8" s="11">
        <f>IF(G8&lt;=C8,"OK","NOK")</f>
        <v/>
      </c>
      <c r="I8" s="7">
        <f>4*D8*1000</f>
        <v/>
      </c>
      <c r="J8" s="10">
        <f>01_Input!B28*1/3*SQRT(01_Input!B25*1000000)*I8*350/1000</f>
        <v/>
      </c>
      <c r="K8" s="11">
        <f>IF(B8*1000&lt;J8,"OK","NOK")</f>
        <v/>
      </c>
    </row>
    <row r="9">
      <c r="A9" s="7" t="inlineStr">
        <is>
          <t>K3</t>
        </is>
      </c>
      <c r="B9" s="10">
        <f>03_Kolom!D7</f>
        <v/>
      </c>
      <c r="C9" s="7">
        <f>$B$4</f>
        <v/>
      </c>
      <c r="D9" s="6" t="n">
        <v>1.2</v>
      </c>
      <c r="E9" s="10">
        <f>(B9+D9^2*0.4*24+D9^2*0.6*18)/C9</f>
        <v/>
      </c>
      <c r="F9" s="9">
        <f>D9^2</f>
        <v/>
      </c>
      <c r="G9" s="10">
        <f>B9/F9</f>
        <v/>
      </c>
      <c r="H9" s="11">
        <f>IF(G9&lt;=C9,"OK","NOK")</f>
        <v/>
      </c>
      <c r="I9" s="7">
        <f>4*D9*1000</f>
        <v/>
      </c>
      <c r="J9" s="10">
        <f>01_Input!B28*1/3*SQRT(01_Input!B25*1000000)*I9*350/1000</f>
        <v/>
      </c>
      <c r="K9" s="11">
        <f>IF(B9*1000&lt;J9,"OK","NOK")</f>
        <v/>
      </c>
    </row>
  </sheetData>
  <mergeCells count="2">
    <mergeCell ref="A1:K1"/>
    <mergeCell ref="A2:K2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customWidth="1" max="1" min="1" width="14"/>
    <col customWidth="1" max="2" min="2" width="8"/>
    <col customWidth="1" max="3" min="3" width="8"/>
    <col customWidth="1" max="4" min="4" width="12"/>
    <col customWidth="1" max="5" min="5" width="12"/>
    <col customWidth="1" max="6" min="6" width="12"/>
    <col customWidth="1" max="7" min="7" width="14"/>
    <col customWidth="1" max="8" min="8" width="12"/>
  </cols>
  <sheetData>
    <row r="1">
      <c r="A1" s="3" t="inlineStr">
        <is>
          <t>PERHITUNGAN RING BALK - OTOMATIS</t>
        </is>
      </c>
    </row>
    <row r="3">
      <c r="A3" s="4" t="inlineStr">
        <is>
          <t>Lokasi</t>
        </is>
      </c>
      <c r="B3" s="4" t="inlineStr">
        <is>
          <t>b (cm)</t>
        </is>
      </c>
      <c r="C3" s="4" t="inlineStr">
        <is>
          <t>h (cm)</t>
        </is>
      </c>
      <c r="D3" s="4" t="inlineStr">
        <is>
          <t>Bentang (m)</t>
        </is>
      </c>
      <c r="E3" s="4" t="inlineStr">
        <is>
          <t>q (kN/m)</t>
        </is>
      </c>
      <c r="F3" s="4" t="inlineStr">
        <is>
          <t>Mu (kNm)</t>
        </is>
      </c>
      <c r="G3" s="4" t="inlineStr">
        <is>
          <t>As perlu (mm2)</t>
        </is>
      </c>
      <c r="H3" s="4" t="inlineStr">
        <is>
          <t>Tul. Utama</t>
        </is>
      </c>
    </row>
    <row r="4">
      <c r="A4" s="7" t="inlineStr">
        <is>
          <t>Memanjang</t>
        </is>
      </c>
      <c r="B4" s="7" t="n">
        <v>15</v>
      </c>
      <c r="C4" s="7" t="n">
        <v>20</v>
      </c>
      <c r="D4" s="9">
        <f>01_Input!B6</f>
        <v/>
      </c>
      <c r="E4" s="9">
        <f>B4*C4*24/1000000+D4*(01_Input!B20+01_Input!B18)/1000</f>
        <v/>
      </c>
      <c r="F4" s="10">
        <f>1/10*E4*D4^2</f>
        <v/>
      </c>
      <c r="G4" s="10">
        <f>F4*1000000/(01_Input!B28*01_Input!B29*(C4-2.5-0.4)*10)</f>
        <v/>
      </c>
      <c r="H4" s="7" t="inlineStr">
        <is>
          <t>4D10</t>
        </is>
      </c>
    </row>
    <row r="5">
      <c r="A5" s="7" t="inlineStr">
        <is>
          <t>Melintang</t>
        </is>
      </c>
      <c r="B5" s="7" t="n">
        <v>15</v>
      </c>
      <c r="C5" s="7" t="n">
        <v>20</v>
      </c>
      <c r="D5" s="9">
        <f>01_Input!B7</f>
        <v/>
      </c>
      <c r="E5" s="9">
        <f>B5*C5*24/1000000+D5*(01_Input!B20+01_Input!B18)/1000</f>
        <v/>
      </c>
      <c r="F5" s="10">
        <f>1/10*E5*D5^2</f>
        <v/>
      </c>
      <c r="G5" s="10">
        <f>F5*1000000/(01_Input!B28*01_Input!B29*(C5-2.5-0.4)*10)</f>
        <v/>
      </c>
      <c r="H5" s="7" t="inlineStr">
        <is>
          <t>4D10</t>
        </is>
      </c>
    </row>
  </sheetData>
  <mergeCells count="1">
    <mergeCell ref="A1:H1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customWidth="1" max="1" min="1" width="14"/>
    <col customWidth="1" max="2" min="2" width="14"/>
    <col customWidth="1" max="3" min="3" width="12"/>
    <col customWidth="1" max="4" min="4" width="12"/>
    <col customWidth="1" max="5" min="5" width="14"/>
    <col customWidth="1" max="6" min="6" width="12"/>
  </cols>
  <sheetData>
    <row r="1">
      <c r="A1" s="3" t="inlineStr">
        <is>
          <t>REKAPITULASI MATERIAL &amp; BOM - OTOMATIS</t>
        </is>
      </c>
    </row>
    <row r="3">
      <c r="A3" s="4" t="inlineStr">
        <is>
          <t>No</t>
        </is>
      </c>
      <c r="B3" s="4" t="inlineStr">
        <is>
          <t>Komponen</t>
        </is>
      </c>
      <c r="C3" s="4" t="inlineStr">
        <is>
          <t>Volume (m3)</t>
        </is>
      </c>
      <c r="D3" s="4" t="inlineStr">
        <is>
          <t>Beton</t>
        </is>
      </c>
      <c r="E3" s="4" t="inlineStr">
        <is>
          <t>Baja Tul. (kg)</t>
        </is>
      </c>
      <c r="F3" s="4" t="inlineStr">
        <is>
          <t>Keterangan</t>
        </is>
      </c>
    </row>
    <row r="4">
      <c r="A4" s="7" t="n">
        <v>1</v>
      </c>
      <c r="B4" s="7" t="inlineStr">
        <is>
          <t>Sloof</t>
        </is>
      </c>
      <c r="C4" s="9">
        <f>12*(01_Input!B6+01_Input!B7)*0.15*0.30</f>
        <v/>
      </c>
      <c r="D4" s="7">
        <f>C4</f>
        <v/>
      </c>
      <c r="E4" s="13">
        <f>C4*120</f>
        <v/>
      </c>
      <c r="F4" s="7" t="inlineStr">
        <is>
          <t>12 titik</t>
        </is>
      </c>
    </row>
    <row r="5">
      <c r="A5" s="7" t="n">
        <v>2</v>
      </c>
      <c r="B5" s="7" t="inlineStr">
        <is>
          <t>Kolom</t>
        </is>
      </c>
      <c r="C5" s="9">
        <f>12*01_Input!B8*0.30*0.30</f>
        <v/>
      </c>
      <c r="D5" s="7">
        <f>C5</f>
        <v/>
      </c>
      <c r="E5" s="13">
        <f>C5*120</f>
        <v/>
      </c>
      <c r="F5" s="7" t="inlineStr">
        <is>
          <t>12 kolom</t>
        </is>
      </c>
    </row>
    <row r="6">
      <c r="A6" s="7" t="n">
        <v>3</v>
      </c>
      <c r="B6" s="7" t="inlineStr">
        <is>
          <t>Balok</t>
        </is>
      </c>
      <c r="C6" s="9">
        <f>8*(01_Input!B6+01_Input!B7)*0.25*0.40</f>
        <v/>
      </c>
      <c r="D6" s="7">
        <f>C6</f>
        <v/>
      </c>
      <c r="E6" s="13">
        <f>C6*120</f>
        <v/>
      </c>
      <c r="F6" s="7" t="inlineStr">
        <is>
          <t>8 balok</t>
        </is>
      </c>
    </row>
    <row r="7">
      <c r="A7" s="7" t="n">
        <v>4</v>
      </c>
      <c r="B7" s="7" t="inlineStr">
        <is>
          <t>Plat Lantai</t>
        </is>
      </c>
      <c r="C7" s="9">
        <f>01_Input!B6*01_Input!B7*01_Input!B11/100</f>
        <v/>
      </c>
      <c r="D7" s="7">
        <f>C7</f>
        <v/>
      </c>
      <c r="E7" s="13">
        <f>C7*120</f>
        <v/>
      </c>
      <c r="F7" s="7" t="inlineStr">
        <is>
          <t>48 m2</t>
        </is>
      </c>
    </row>
    <row r="8">
      <c r="A8" s="7" t="n">
        <v>5</v>
      </c>
      <c r="B8" s="7" t="inlineStr">
        <is>
          <t>Ring Balk</t>
        </is>
      </c>
      <c r="C8" s="9">
        <f>2*(01_Input!B6+01_Input!B7)*0.15*0.20</f>
        <v/>
      </c>
      <c r="D8" s="7">
        <f>C8</f>
        <v/>
      </c>
      <c r="E8" s="13">
        <f>C8*120</f>
        <v/>
      </c>
      <c r="F8" s="7" t="inlineStr">
        <is>
          <t>18m</t>
        </is>
      </c>
    </row>
    <row r="9">
      <c r="A9" s="7" t="n">
        <v>6</v>
      </c>
      <c r="B9" s="7" t="inlineStr">
        <is>
          <t>Fondasi FP</t>
        </is>
      </c>
      <c r="C9" s="9">
        <f>3*1.0*1.0*0.40</f>
        <v/>
      </c>
      <c r="D9" s="7">
        <f>C9</f>
        <v/>
      </c>
      <c r="E9" s="13">
        <f>C9*120</f>
        <v/>
      </c>
      <c r="F9" s="7" t="inlineStr">
        <is>
          <t>3 unit</t>
        </is>
      </c>
    </row>
    <row r="10">
      <c r="A10" s="4" t="inlineStr">
        <is>
          <t>TOTAL</t>
        </is>
      </c>
      <c r="C10" s="14">
        <f>SUM(C4:C9)</f>
        <v/>
      </c>
      <c r="E10" s="15">
        <f>SUM(E4:E9)</f>
        <v/>
      </c>
    </row>
  </sheetData>
  <mergeCells count="2">
    <mergeCell ref="A1:F1"/>
    <mergeCell ref="A10:B10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customWidth="1" max="1" min="1" width="50"/>
  </cols>
  <sheetData>
    <row r="1">
      <c r="A1" s="1" t="inlineStr">
        <is>
          <t>PETUNJUK PENGGUNAAN SPREADSHEET</t>
        </is>
      </c>
    </row>
    <row r="3">
      <c r="A3" s="16" t="inlineStr">
        <is>
          <t>1. UBAH NILAI INPUT DI SHEET '01_Input' (SEL KUNING)</t>
        </is>
      </c>
    </row>
    <row r="4">
      <c r="A4" t="inlineStr">
        <is>
          <t>2. HASIL PERHITUNGAN AKAN BERUBAH OTOMATIS DI SETIAP SHEET</t>
        </is>
      </c>
    </row>
    <row r="5">
      <c r="A5" t="inlineStr">
        <is>
          <t>3. STATUS 'OK' BERARTI KAPASITAS MEMENUHI SYARAT</t>
        </is>
      </c>
    </row>
    <row r="6">
      <c r="A6" t="inlineStr">
        <is>
          <t>4. STATUS 'NOK' BERARTI PERLU DITAMBAH DIMENSI/TULANGAN</t>
        </is>
      </c>
    </row>
    <row r="8">
      <c r="A8" s="17" t="inlineStr">
        <is>
          <t>REFERENSI SNI:</t>
        </is>
      </c>
    </row>
    <row r="9">
      <c r="A9" s="18" t="inlineStr">
        <is>
          <t>SNI 2847:2019 - Tata cara perencanaan struktur beton</t>
        </is>
      </c>
    </row>
    <row r="10">
      <c r="A10" s="18" t="inlineStr">
        <is>
          <t>SNI 1726:2019 - Tata cara perencanaan ketahanan gempa</t>
        </is>
      </c>
    </row>
    <row r="11">
      <c r="A11" s="18" t="inlineStr">
        <is>
          <t>SNI 1727:2020 - Beban desain minimum untuk bangunan gedung</t>
        </is>
      </c>
    </row>
    <row r="12">
      <c r="A12" s="18" t="inlineStr">
        <is>
          <t>SNI 8460:2017 - Persyaratan perancangan geoteknik</t>
        </is>
      </c>
    </row>
  </sheetData>
  <mergeCells count="6">
    <mergeCell ref="A1:E1"/>
    <mergeCell ref="A3:E3"/>
    <mergeCell ref="A4:E4"/>
    <mergeCell ref="A5:E5"/>
    <mergeCell ref="A6:E6"/>
    <mergeCell ref="A8:E8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2026-05-07T15:40:10Z</dcterms:created>
  <dcterms:modified xmlns:dcterms="http://purl.org/dc/terms/" xmlns:xsi="http://www.w3.org/2001/XMLSchema-instance" xsi:type="dcterms:W3CDTF">2026-05-07T15:40:10Z</dcterms:modified>
</cp:coreProperties>
</file>